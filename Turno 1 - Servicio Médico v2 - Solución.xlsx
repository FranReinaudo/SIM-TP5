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ranr\Downloads\"/>
    </mc:Choice>
  </mc:AlternateContent>
  <xr:revisionPtr revIDLastSave="0" documentId="13_ncr:1_{047E05B0-4665-4716-ADEA-9EF2A586C2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rno 1 - Vector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2" i="4" l="1"/>
  <c r="AE32" i="4"/>
  <c r="F29" i="4"/>
  <c r="S28" i="4"/>
  <c r="S27" i="4"/>
  <c r="K25" i="4"/>
  <c r="F25" i="4"/>
  <c r="G25" i="4" s="1"/>
  <c r="C26" i="4" s="1"/>
  <c r="U26" i="4" s="1"/>
  <c r="C27" i="4" s="1"/>
  <c r="O24" i="4"/>
  <c r="C24" i="4"/>
  <c r="AC24" i="4" s="1"/>
  <c r="S22" i="4"/>
  <c r="I21" i="4"/>
  <c r="S20" i="4"/>
  <c r="F19" i="4"/>
  <c r="F18" i="4"/>
  <c r="F17" i="4"/>
  <c r="S16" i="4"/>
  <c r="F15" i="4"/>
  <c r="I14" i="4"/>
  <c r="S13" i="4"/>
  <c r="F13" i="4"/>
  <c r="I12" i="4"/>
  <c r="Z11" i="4"/>
  <c r="Z12" i="4" s="1"/>
  <c r="Z13" i="4" s="1"/>
  <c r="X11" i="4"/>
  <c r="S11" i="4"/>
  <c r="F11" i="4"/>
  <c r="O10" i="4"/>
  <c r="P10" i="4" s="1"/>
  <c r="I10" i="4"/>
  <c r="J10" i="4" s="1"/>
  <c r="F10" i="4"/>
  <c r="G10" i="4" s="1"/>
  <c r="C11" i="4" l="1"/>
  <c r="P24" i="4"/>
  <c r="Q24" i="4"/>
  <c r="T11" i="4"/>
  <c r="G11" i="4"/>
  <c r="AF27" i="4"/>
  <c r="T27" i="4"/>
  <c r="C28" i="4" s="1"/>
  <c r="U28" i="4" s="1"/>
  <c r="C29" i="4" s="1"/>
  <c r="AF28" i="4" l="1"/>
  <c r="G29" i="4"/>
  <c r="K29" i="4"/>
  <c r="C12" i="4"/>
  <c r="J12" i="4" l="1"/>
  <c r="C13" i="4" s="1"/>
  <c r="X12" i="4"/>
  <c r="X13" i="4" s="1"/>
  <c r="U13" i="4" l="1"/>
  <c r="G13" i="4"/>
  <c r="C14" i="4" l="1"/>
  <c r="J14" i="4" s="1"/>
  <c r="C15" i="4" s="1"/>
  <c r="X14" i="4" l="1"/>
  <c r="X15" i="4" s="1"/>
  <c r="X16" i="4" s="1"/>
  <c r="Z14" i="4"/>
  <c r="Z15" i="4" s="1"/>
  <c r="K15" i="4"/>
  <c r="G15" i="4"/>
  <c r="C16" i="4" s="1"/>
  <c r="AF16" i="4" l="1"/>
  <c r="T16" i="4"/>
  <c r="C17" i="4" s="1"/>
  <c r="X17" i="4"/>
  <c r="Z16" i="4"/>
  <c r="Z17" i="4" s="1"/>
  <c r="L17" i="4" l="1"/>
  <c r="G17" i="4"/>
  <c r="C18" i="4" s="1"/>
  <c r="G18" i="4" s="1"/>
  <c r="C19" i="4" s="1"/>
  <c r="G19" i="4" s="1"/>
  <c r="C20" i="4" s="1"/>
  <c r="X18" i="4" l="1"/>
  <c r="X19" i="4" s="1"/>
  <c r="X20" i="4" s="1"/>
  <c r="Z18" i="4"/>
  <c r="Z19" i="4" s="1"/>
  <c r="Z20" i="4" s="1"/>
  <c r="AF20" i="4"/>
  <c r="U20" i="4"/>
  <c r="C21" i="4" s="1"/>
  <c r="J21" i="4" s="1"/>
  <c r="C22" i="4" s="1"/>
  <c r="X21" i="4"/>
  <c r="X22" i="4" s="1"/>
  <c r="Z21" i="4"/>
  <c r="Z22" i="4" s="1"/>
  <c r="T22" i="4" l="1"/>
  <c r="C23" i="4" s="1"/>
  <c r="Z23" i="4" s="1"/>
  <c r="Z24" i="4" s="1"/>
  <c r="Z25" i="4" s="1"/>
  <c r="Z26" i="4" s="1"/>
  <c r="Z27" i="4" s="1"/>
  <c r="Z28" i="4" s="1"/>
  <c r="Z29" i="4" s="1"/>
  <c r="Z32" i="4" s="1"/>
  <c r="AF22" i="4"/>
  <c r="X23" i="4" l="1"/>
  <c r="X24" i="4" s="1"/>
  <c r="X25" i="4" s="1"/>
  <c r="X26" i="4" s="1"/>
  <c r="X27" i="4" s="1"/>
  <c r="X28" i="4" s="1"/>
  <c r="X29" i="4" s="1"/>
  <c r="X32" i="4" s="1"/>
</calcChain>
</file>

<file path=xl/sharedStrings.xml><?xml version="1.0" encoding="utf-8"?>
<sst xmlns="http://schemas.openxmlformats.org/spreadsheetml/2006/main" count="245" uniqueCount="57">
  <si>
    <t>-</t>
  </si>
  <si>
    <t>SA(1)</t>
  </si>
  <si>
    <t>EA</t>
  </si>
  <si>
    <t>SA(2)</t>
  </si>
  <si>
    <t>ACG</t>
  </si>
  <si>
    <t>ACE</t>
  </si>
  <si>
    <t>llegada_general (PG8)</t>
  </si>
  <si>
    <t>fin_atención(2) (PG3)</t>
  </si>
  <si>
    <t>fin_atención(1) (PE2)</t>
  </si>
  <si>
    <t>fin_ayuda_telefonica</t>
  </si>
  <si>
    <t>CI</t>
  </si>
  <si>
    <t>ALL</t>
  </si>
  <si>
    <t>llegada_general (PG7)</t>
  </si>
  <si>
    <t>llegada_llamada</t>
  </si>
  <si>
    <t>fin_espera(2) (PG4)</t>
  </si>
  <si>
    <t>fin_atención(1) (PE1)</t>
  </si>
  <si>
    <t>llegada_especial (PE3)</t>
  </si>
  <si>
    <t>fin_atención(2) (PG2)</t>
  </si>
  <si>
    <t>llegada_general (PG6)</t>
  </si>
  <si>
    <t>llegada_general (PG5)</t>
  </si>
  <si>
    <t>llegada_general (PG4)</t>
  </si>
  <si>
    <t>fin_atención(1) (PG1)</t>
  </si>
  <si>
    <t>llegada_general (PG3)</t>
  </si>
  <si>
    <t>llegada_especial (PE2)</t>
  </si>
  <si>
    <t>llegada_general (PG2)</t>
  </si>
  <si>
    <t>Libre</t>
  </si>
  <si>
    <t>llegada_especial (PE1)</t>
  </si>
  <si>
    <t>llegada_general (PG1)</t>
  </si>
  <si>
    <t>Inicialización</t>
  </si>
  <si>
    <t>H.Lleg.</t>
  </si>
  <si>
    <t>Estado</t>
  </si>
  <si>
    <t>Hora Lleg.</t>
  </si>
  <si>
    <t>AC Ocupado</t>
  </si>
  <si>
    <t>tiempo atención</t>
  </si>
  <si>
    <t>RND</t>
  </si>
  <si>
    <t>próxima llegada</t>
  </si>
  <si>
    <t>t.entre
llegadas</t>
  </si>
  <si>
    <t>PACIENTE DE ESPECIALIDAD</t>
  </si>
  <si>
    <t>PACIENTE GENERAL</t>
  </si>
  <si>
    <t>Cant. Pac. con acceso a Médico</t>
  </si>
  <si>
    <t>AC Tiempo de Perm. en cola</t>
  </si>
  <si>
    <t>Cant. pac. abandonan cola</t>
  </si>
  <si>
    <t>Tiempo remanente consulta interrumpida</t>
  </si>
  <si>
    <t>Cola de Pacientes Especialidad</t>
  </si>
  <si>
    <t>Cola de Pacientes Generales</t>
  </si>
  <si>
    <t>MEDICO (N)</t>
  </si>
  <si>
    <t>fin_atención (i) U(6,10)</t>
  </si>
  <si>
    <t>fin ayuda telefónica</t>
  </si>
  <si>
    <t>llegada_llamada  exp-(90')</t>
  </si>
  <si>
    <t>fin_espera_gen(i)  ec.dif.</t>
  </si>
  <si>
    <t>llegada_especial exp-(10')</t>
  </si>
  <si>
    <t>llegada_general  exp-(4')</t>
  </si>
  <si>
    <t>(min)
 Reloj</t>
  </si>
  <si>
    <t>Evento</t>
  </si>
  <si>
    <t>C)</t>
  </si>
  <si>
    <t>A)</t>
  </si>
  <si>
    <t>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</si>
</sst>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/>
    <xf numFmtId="0" fontId="0" fillId="2" borderId="0" xfId="0" applyFill="1" applyAlignment="1">
      <alignment horizontal="left"/>
    </xf>
    <xf numFmtId="2" fontId="3" fillId="0" borderId="0" xfId="0" applyNumberFormat="1" applyFont="1"/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" fontId="4" fillId="0" borderId="0" xfId="0" applyNumberFormat="1" applyFont="1"/>
    <xf numFmtId="2" fontId="1" fillId="0" borderId="0" xfId="0" applyNumberFormat="1" applyFont="1"/>
    <xf numFmtId="2" fontId="5" fillId="0" borderId="0" xfId="0" applyNumberFormat="1" applyFont="1"/>
    <xf numFmtId="2" fontId="1" fillId="0" borderId="0" xfId="0" applyNumberFormat="1" applyFont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/>
    <xf numFmtId="2" fontId="2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 wrapText="1"/>
    </xf>
    <xf numFmtId="2" fontId="2" fillId="0" borderId="0" xfId="0" applyNumberFormat="1" applyFont="1" applyAlignment="1">
      <alignment horizontal="center" wrapText="1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2" fontId="2" fillId="7" borderId="0" xfId="0" applyNumberFormat="1" applyFont="1" applyFill="1" applyAlignment="1">
      <alignment horizontal="center" wrapText="1"/>
    </xf>
    <xf numFmtId="2" fontId="2" fillId="6" borderId="0" xfId="0" applyNumberFormat="1" applyFont="1" applyFill="1" applyAlignment="1">
      <alignment horizontal="center" wrapText="1"/>
    </xf>
    <xf numFmtId="0" fontId="2" fillId="9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2" fontId="2" fillId="8" borderId="0" xfId="0" applyNumberFormat="1" applyFont="1" applyFill="1" applyAlignment="1">
      <alignment horizontal="center" wrapText="1"/>
    </xf>
    <xf numFmtId="1" fontId="2" fillId="3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5" borderId="0" xfId="0" applyFont="1" applyFill="1" applyAlignment="1">
      <alignment horizontal="left"/>
    </xf>
    <xf numFmtId="2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I32"/>
  <sheetViews>
    <sheetView tabSelected="1" topLeftCell="A7" zoomScaleNormal="100" workbookViewId="0">
      <selection activeCell="J4" sqref="J4"/>
    </sheetView>
  </sheetViews>
  <sheetFormatPr baseColWidth="10" defaultRowHeight="14.4" x14ac:dyDescent="0.3"/>
  <cols>
    <col min="1" max="1" width="11.44140625" style="6"/>
    <col min="2" max="2" width="25.109375" customWidth="1"/>
    <col min="3" max="3" width="11.44140625" style="5"/>
    <col min="4" max="4" width="1.109375" customWidth="1"/>
    <col min="5" max="5" width="6.88671875" style="5" customWidth="1"/>
    <col min="6" max="6" width="11.88671875" style="5" customWidth="1"/>
    <col min="7" max="7" width="11.44140625" style="5"/>
    <col min="8" max="8" width="7.5546875" style="5" customWidth="1"/>
    <col min="9" max="9" width="9.88671875" style="5" customWidth="1"/>
    <col min="10" max="10" width="10.109375" style="2" customWidth="1"/>
    <col min="11" max="13" width="11.44140625" style="5"/>
    <col min="14" max="14" width="7" style="5" customWidth="1"/>
    <col min="15" max="15" width="10.109375" style="5" customWidth="1"/>
    <col min="16" max="16" width="11.44140625" style="5" customWidth="1"/>
    <col min="17" max="17" width="11.44140625" style="5"/>
    <col min="18" max="18" width="7.5546875" style="5" customWidth="1"/>
    <col min="19" max="20" width="9.6640625" style="5" customWidth="1"/>
    <col min="21" max="21" width="10" style="5" customWidth="1"/>
    <col min="22" max="22" width="1.109375" customWidth="1"/>
    <col min="23" max="23" width="11.44140625" style="3"/>
    <col min="24" max="24" width="10" style="2" customWidth="1"/>
    <col min="25" max="25" width="11.44140625" style="3"/>
    <col min="26" max="26" width="9.6640625" style="2" customWidth="1"/>
    <col min="27" max="27" width="11.44140625" style="3"/>
    <col min="28" max="28" width="12.5546875" style="3" customWidth="1"/>
    <col min="29" max="29" width="13.33203125" style="2" customWidth="1"/>
    <col min="30" max="30" width="0.88671875" customWidth="1"/>
    <col min="31" max="31" width="12" style="3" customWidth="1"/>
    <col min="32" max="32" width="11.5546875" style="2" customWidth="1"/>
    <col min="33" max="33" width="11.44140625" style="4"/>
    <col min="34" max="34" width="0.88671875" customWidth="1"/>
    <col min="35" max="35" width="7.6640625" style="3" customWidth="1"/>
    <col min="36" max="36" width="9.88671875" style="2" customWidth="1"/>
    <col min="37" max="37" width="7.6640625" style="3" customWidth="1"/>
    <col min="38" max="38" width="8.5546875" style="2" customWidth="1"/>
    <col min="39" max="39" width="7.6640625" style="3" customWidth="1"/>
    <col min="40" max="40" width="8.5546875" style="2" customWidth="1"/>
    <col min="41" max="41" width="7.6640625" style="3" customWidth="1"/>
    <col min="42" max="42" width="8.5546875" style="2" customWidth="1"/>
    <col min="43" max="43" width="7.6640625" style="3" customWidth="1"/>
    <col min="44" max="44" width="8.5546875" style="2" customWidth="1"/>
    <col min="45" max="45" width="8.33203125" style="3" customWidth="1"/>
    <col min="46" max="46" width="8.5546875" style="2" customWidth="1"/>
    <col min="47" max="47" width="7.109375" style="3" customWidth="1"/>
    <col min="48" max="48" width="8.5546875" style="2" customWidth="1"/>
    <col min="49" max="49" width="7.109375" style="3" customWidth="1"/>
    <col min="50" max="50" width="8.5546875" style="2" customWidth="1"/>
    <col min="51" max="51" width="7.109375" style="3" customWidth="1"/>
    <col min="52" max="52" width="8.5546875" style="2" customWidth="1"/>
    <col min="53" max="53" width="1.33203125" style="2" customWidth="1"/>
    <col min="54" max="54" width="8" style="3" customWidth="1"/>
    <col min="55" max="55" width="8" style="2" customWidth="1"/>
    <col min="56" max="56" width="9" style="3" customWidth="1"/>
    <col min="57" max="57" width="9" style="2" customWidth="1"/>
    <col min="58" max="58" width="9" style="3" customWidth="1"/>
    <col min="59" max="59" width="9" style="2" customWidth="1"/>
    <col min="60" max="60" width="9" style="3" customWidth="1"/>
    <col min="61" max="61" width="9" style="2" customWidth="1"/>
    <col min="62" max="62" width="1.33203125" customWidth="1"/>
  </cols>
  <sheetData>
    <row r="2" spans="1:61" x14ac:dyDescent="0.3">
      <c r="F2" s="31"/>
      <c r="G2" s="31"/>
    </row>
    <row r="3" spans="1:61" x14ac:dyDescent="0.3">
      <c r="F3" s="31"/>
      <c r="G3" s="31"/>
    </row>
    <row r="6" spans="1:61" ht="15" customHeight="1" x14ac:dyDescent="0.3">
      <c r="X6" s="2" t="s">
        <v>56</v>
      </c>
      <c r="Z6" s="2" t="s">
        <v>56</v>
      </c>
      <c r="AE6" s="3" t="s">
        <v>55</v>
      </c>
      <c r="AF6" s="34" t="s">
        <v>54</v>
      </c>
      <c r="AG6" s="34"/>
    </row>
    <row r="7" spans="1:61" s="23" customFormat="1" ht="15" customHeight="1" x14ac:dyDescent="0.3">
      <c r="A7" s="28"/>
      <c r="B7" s="35" t="s">
        <v>53</v>
      </c>
      <c r="C7" s="36" t="s">
        <v>52</v>
      </c>
      <c r="E7" s="37" t="s">
        <v>51</v>
      </c>
      <c r="F7" s="37"/>
      <c r="G7" s="37"/>
      <c r="H7" s="38" t="s">
        <v>50</v>
      </c>
      <c r="I7" s="38"/>
      <c r="J7" s="38"/>
      <c r="K7" s="39" t="s">
        <v>49</v>
      </c>
      <c r="L7" s="39"/>
      <c r="M7" s="39"/>
      <c r="N7" s="40" t="s">
        <v>48</v>
      </c>
      <c r="O7" s="40"/>
      <c r="P7" s="40"/>
      <c r="Q7" s="41" t="s">
        <v>47</v>
      </c>
      <c r="R7" s="39" t="s">
        <v>46</v>
      </c>
      <c r="S7" s="39"/>
      <c r="T7" s="39"/>
      <c r="U7" s="39"/>
      <c r="W7" s="42" t="s">
        <v>45</v>
      </c>
      <c r="X7" s="42"/>
      <c r="Y7" s="42"/>
      <c r="Z7" s="42"/>
      <c r="AA7" s="46" t="s">
        <v>44</v>
      </c>
      <c r="AB7" s="46" t="s">
        <v>43</v>
      </c>
      <c r="AC7" s="36" t="s">
        <v>42</v>
      </c>
      <c r="AE7" s="46" t="s">
        <v>41</v>
      </c>
      <c r="AF7" s="36" t="s">
        <v>40</v>
      </c>
      <c r="AG7" s="48" t="s">
        <v>39</v>
      </c>
      <c r="AI7" s="49" t="s">
        <v>38</v>
      </c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B7" s="43" t="s">
        <v>37</v>
      </c>
      <c r="BC7" s="43"/>
      <c r="BD7" s="43"/>
      <c r="BE7" s="43"/>
      <c r="BF7" s="43"/>
      <c r="BG7" s="43"/>
      <c r="BH7" s="43"/>
      <c r="BI7" s="43"/>
    </row>
    <row r="8" spans="1:61" s="29" customFormat="1" ht="16.5" customHeight="1" x14ac:dyDescent="0.3">
      <c r="A8" s="30"/>
      <c r="B8" s="35"/>
      <c r="C8" s="36"/>
      <c r="E8" s="36" t="s">
        <v>34</v>
      </c>
      <c r="F8" s="36" t="s">
        <v>36</v>
      </c>
      <c r="G8" s="41" t="s">
        <v>35</v>
      </c>
      <c r="H8" s="36" t="s">
        <v>34</v>
      </c>
      <c r="I8" s="36" t="s">
        <v>36</v>
      </c>
      <c r="J8" s="44" t="s">
        <v>35</v>
      </c>
      <c r="K8" s="45">
        <v>1</v>
      </c>
      <c r="L8" s="45">
        <v>2</v>
      </c>
      <c r="M8" s="45">
        <v>3</v>
      </c>
      <c r="N8" s="36" t="s">
        <v>34</v>
      </c>
      <c r="O8" s="36" t="s">
        <v>36</v>
      </c>
      <c r="P8" s="40" t="s">
        <v>35</v>
      </c>
      <c r="Q8" s="41"/>
      <c r="R8" s="36" t="s">
        <v>34</v>
      </c>
      <c r="S8" s="36" t="s">
        <v>33</v>
      </c>
      <c r="T8" s="45">
        <v>1</v>
      </c>
      <c r="U8" s="45">
        <v>2</v>
      </c>
      <c r="W8" s="46">
        <v>1</v>
      </c>
      <c r="X8" s="46"/>
      <c r="Y8" s="46">
        <v>2</v>
      </c>
      <c r="Z8" s="46"/>
      <c r="AA8" s="46"/>
      <c r="AB8" s="46"/>
      <c r="AC8" s="36"/>
      <c r="AE8" s="46"/>
      <c r="AF8" s="47"/>
      <c r="AG8" s="48"/>
      <c r="AI8" s="46">
        <v>1</v>
      </c>
      <c r="AJ8" s="46"/>
      <c r="AK8" s="46">
        <v>2</v>
      </c>
      <c r="AL8" s="46"/>
      <c r="AM8" s="46">
        <v>3</v>
      </c>
      <c r="AN8" s="46"/>
      <c r="AO8" s="46">
        <v>4</v>
      </c>
      <c r="AP8" s="46"/>
      <c r="AQ8" s="46">
        <v>5</v>
      </c>
      <c r="AR8" s="46"/>
      <c r="AS8" s="46">
        <v>6</v>
      </c>
      <c r="AT8" s="46"/>
      <c r="AU8" s="46">
        <v>7</v>
      </c>
      <c r="AV8" s="46"/>
      <c r="AW8" s="46">
        <v>8</v>
      </c>
      <c r="AX8" s="46"/>
      <c r="AY8" s="46">
        <v>9</v>
      </c>
      <c r="AZ8" s="46"/>
      <c r="BA8" s="27"/>
      <c r="BB8" s="46">
        <v>1</v>
      </c>
      <c r="BC8" s="46"/>
      <c r="BD8" s="46">
        <v>2</v>
      </c>
      <c r="BE8" s="46"/>
      <c r="BF8" s="46">
        <v>3</v>
      </c>
      <c r="BG8" s="46"/>
      <c r="BH8" s="46">
        <v>4</v>
      </c>
      <c r="BI8" s="46"/>
    </row>
    <row r="9" spans="1:61" s="23" customFormat="1" ht="14.25" customHeight="1" x14ac:dyDescent="0.3">
      <c r="A9" s="28"/>
      <c r="B9" s="35"/>
      <c r="C9" s="36"/>
      <c r="E9" s="36"/>
      <c r="F9" s="36"/>
      <c r="G9" s="41"/>
      <c r="H9" s="36"/>
      <c r="I9" s="36"/>
      <c r="J9" s="44"/>
      <c r="K9" s="45"/>
      <c r="L9" s="45"/>
      <c r="M9" s="45"/>
      <c r="N9" s="36"/>
      <c r="O9" s="36"/>
      <c r="P9" s="40"/>
      <c r="Q9" s="41"/>
      <c r="R9" s="36"/>
      <c r="S9" s="36"/>
      <c r="T9" s="45"/>
      <c r="U9" s="45"/>
      <c r="W9" s="27" t="s">
        <v>30</v>
      </c>
      <c r="X9" s="26" t="s">
        <v>32</v>
      </c>
      <c r="Y9" s="27" t="s">
        <v>30</v>
      </c>
      <c r="Z9" s="26" t="s">
        <v>32</v>
      </c>
      <c r="AA9" s="46"/>
      <c r="AB9" s="46"/>
      <c r="AC9" s="36"/>
      <c r="AE9" s="46"/>
      <c r="AF9" s="47"/>
      <c r="AG9" s="48"/>
      <c r="AI9" s="25" t="s">
        <v>30</v>
      </c>
      <c r="AJ9" s="24" t="s">
        <v>31</v>
      </c>
      <c r="AK9" s="25" t="s">
        <v>30</v>
      </c>
      <c r="AL9" s="24" t="s">
        <v>29</v>
      </c>
      <c r="AM9" s="25" t="s">
        <v>30</v>
      </c>
      <c r="AN9" s="24" t="s">
        <v>29</v>
      </c>
      <c r="AO9" s="25" t="s">
        <v>30</v>
      </c>
      <c r="AP9" s="24" t="s">
        <v>29</v>
      </c>
      <c r="AQ9" s="25" t="s">
        <v>30</v>
      </c>
      <c r="AR9" s="24" t="s">
        <v>29</v>
      </c>
      <c r="AS9" s="25" t="s">
        <v>30</v>
      </c>
      <c r="AT9" s="24" t="s">
        <v>29</v>
      </c>
      <c r="AU9" s="25" t="s">
        <v>30</v>
      </c>
      <c r="AV9" s="24" t="s">
        <v>29</v>
      </c>
      <c r="AW9" s="25" t="s">
        <v>30</v>
      </c>
      <c r="AX9" s="24" t="s">
        <v>29</v>
      </c>
      <c r="AY9" s="25" t="s">
        <v>30</v>
      </c>
      <c r="AZ9" s="24" t="s">
        <v>29</v>
      </c>
      <c r="BA9" s="24"/>
      <c r="BB9" s="25" t="s">
        <v>30</v>
      </c>
      <c r="BC9" s="24" t="s">
        <v>29</v>
      </c>
      <c r="BD9" s="25" t="s">
        <v>30</v>
      </c>
      <c r="BE9" s="24" t="s">
        <v>29</v>
      </c>
      <c r="BF9" s="25" t="s">
        <v>30</v>
      </c>
      <c r="BG9" s="24" t="s">
        <v>29</v>
      </c>
      <c r="BH9" s="25" t="s">
        <v>30</v>
      </c>
      <c r="BI9" s="24" t="s">
        <v>29</v>
      </c>
    </row>
    <row r="10" spans="1:61" s="19" customFormat="1" x14ac:dyDescent="0.3">
      <c r="A10" s="6">
        <v>1</v>
      </c>
      <c r="B10" s="19" t="s">
        <v>28</v>
      </c>
      <c r="C10" s="17">
        <v>0</v>
      </c>
      <c r="E10" s="17">
        <v>0.41</v>
      </c>
      <c r="F10" s="17">
        <f>TRUNC(-4*LN(1-E10),2)</f>
        <v>2.11</v>
      </c>
      <c r="G10" s="16">
        <f>C10+F10</f>
        <v>2.11</v>
      </c>
      <c r="H10" s="17">
        <v>0.51</v>
      </c>
      <c r="I10" s="17">
        <f>TRUNC(-10*LN(1-H10),2)</f>
        <v>7.13</v>
      </c>
      <c r="J10" s="20">
        <f>C10+I10</f>
        <v>7.13</v>
      </c>
      <c r="K10" s="17"/>
      <c r="L10" s="17"/>
      <c r="M10" s="17"/>
      <c r="N10" s="17">
        <v>0.24</v>
      </c>
      <c r="O10" s="17">
        <f>TRUNC(-90*LN(1-N10),2)</f>
        <v>24.69</v>
      </c>
      <c r="P10" s="17">
        <f>C10+O10</f>
        <v>24.69</v>
      </c>
      <c r="Q10" s="17"/>
      <c r="R10" s="17"/>
      <c r="S10" s="17"/>
      <c r="T10" s="17"/>
      <c r="U10" s="17"/>
      <c r="W10" s="21" t="s">
        <v>25</v>
      </c>
      <c r="X10" s="20">
        <v>0</v>
      </c>
      <c r="Y10" s="21" t="s">
        <v>25</v>
      </c>
      <c r="Z10" s="20">
        <v>0</v>
      </c>
      <c r="AA10" s="21">
        <v>0</v>
      </c>
      <c r="AB10" s="21">
        <v>0</v>
      </c>
      <c r="AC10" s="20" t="s">
        <v>0</v>
      </c>
      <c r="AE10" s="21">
        <v>0</v>
      </c>
      <c r="AF10" s="20">
        <v>0</v>
      </c>
      <c r="AG10" s="22">
        <v>0</v>
      </c>
      <c r="AI10" s="21"/>
      <c r="AJ10" s="20"/>
      <c r="AK10" s="21"/>
      <c r="AL10" s="20"/>
      <c r="AM10" s="21"/>
      <c r="AN10" s="20"/>
      <c r="AO10" s="21"/>
      <c r="AP10" s="20"/>
      <c r="AQ10" s="21"/>
      <c r="AR10" s="20"/>
      <c r="AS10" s="21"/>
      <c r="AT10" s="20"/>
      <c r="AU10" s="21"/>
      <c r="AV10" s="20"/>
      <c r="AW10" s="21"/>
      <c r="AX10" s="20"/>
      <c r="AY10" s="21"/>
      <c r="AZ10" s="20"/>
      <c r="BA10" s="20"/>
      <c r="BB10" s="21"/>
      <c r="BC10" s="20"/>
      <c r="BD10" s="21"/>
      <c r="BE10" s="20"/>
      <c r="BF10" s="21"/>
      <c r="BG10" s="20"/>
      <c r="BH10" s="21"/>
      <c r="BI10" s="20"/>
    </row>
    <row r="11" spans="1:61" x14ac:dyDescent="0.3">
      <c r="A11" s="6">
        <v>2</v>
      </c>
      <c r="B11" t="s">
        <v>27</v>
      </c>
      <c r="C11" s="5">
        <f t="shared" ref="C11:C24" si="0">MIN(G10,J10,K10,L10,M10,P10,Q10,T10,U10)</f>
        <v>2.11</v>
      </c>
      <c r="E11" s="5">
        <v>0.82</v>
      </c>
      <c r="F11" s="12">
        <f>TRUNC(-4*LN(1-E11),2)</f>
        <v>6.85</v>
      </c>
      <c r="G11" s="5">
        <f>C11+F11</f>
        <v>8.9599999999999991</v>
      </c>
      <c r="I11" s="17"/>
      <c r="J11" s="18">
        <v>7.13</v>
      </c>
      <c r="O11" s="17"/>
      <c r="P11" s="5">
        <v>24.69</v>
      </c>
      <c r="R11" s="5">
        <v>0.88</v>
      </c>
      <c r="S11" s="5">
        <f>TRUNC((R11*4)+6,2)</f>
        <v>9.52</v>
      </c>
      <c r="T11" s="5">
        <f>C11+S11</f>
        <v>11.629999999999999</v>
      </c>
      <c r="W11" s="3" t="s">
        <v>4</v>
      </c>
      <c r="X11" s="2">
        <f t="shared" ref="X11:X29" si="1">IF(OR(W10="Libre",W10="ALL"),X10,X10+(C11-C10))</f>
        <v>0</v>
      </c>
      <c r="Y11" s="3" t="s">
        <v>25</v>
      </c>
      <c r="Z11" s="2">
        <f t="shared" ref="Z11:Z29" si="2">IF(OR(Y10="Libre",Y10="ALL"),Z10,Z10+(C11-C10))</f>
        <v>0</v>
      </c>
      <c r="AA11" s="3">
        <v>0</v>
      </c>
      <c r="AB11" s="3">
        <v>0</v>
      </c>
      <c r="AC11" s="2" t="s">
        <v>0</v>
      </c>
      <c r="AE11" s="3">
        <v>0</v>
      </c>
      <c r="AF11" s="2">
        <v>0</v>
      </c>
      <c r="AG11" s="4">
        <v>1</v>
      </c>
      <c r="AI11" s="3" t="s">
        <v>1</v>
      </c>
      <c r="AJ11" s="2" t="s">
        <v>0</v>
      </c>
    </row>
    <row r="12" spans="1:61" x14ac:dyDescent="0.3">
      <c r="A12" s="6">
        <v>3</v>
      </c>
      <c r="B12" t="s">
        <v>26</v>
      </c>
      <c r="C12" s="5">
        <f t="shared" si="0"/>
        <v>7.13</v>
      </c>
      <c r="F12" s="12"/>
      <c r="G12" s="16">
        <v>8.9600000000000009</v>
      </c>
      <c r="H12" s="5">
        <v>0.25</v>
      </c>
      <c r="I12" s="12">
        <f>TRUNC(-10*LN(1-H12),2)</f>
        <v>2.87</v>
      </c>
      <c r="J12" s="2">
        <f>C12+I12</f>
        <v>10</v>
      </c>
      <c r="O12" s="17"/>
      <c r="P12" s="5">
        <v>24.69</v>
      </c>
      <c r="T12" s="5">
        <v>11.63</v>
      </c>
      <c r="W12" s="3" t="s">
        <v>4</v>
      </c>
      <c r="X12" s="2">
        <f t="shared" si="1"/>
        <v>5.0199999999999996</v>
      </c>
      <c r="Y12" s="3" t="s">
        <v>25</v>
      </c>
      <c r="Z12" s="2">
        <f t="shared" si="2"/>
        <v>0</v>
      </c>
      <c r="AA12" s="3">
        <v>0</v>
      </c>
      <c r="AB12" s="3">
        <v>1</v>
      </c>
      <c r="AC12" s="2" t="s">
        <v>0</v>
      </c>
      <c r="AE12" s="3">
        <v>0</v>
      </c>
      <c r="AF12" s="2">
        <v>0</v>
      </c>
      <c r="AG12" s="4">
        <v>1</v>
      </c>
      <c r="AI12" s="3" t="s">
        <v>1</v>
      </c>
      <c r="AJ12" s="2" t="s">
        <v>0</v>
      </c>
      <c r="BB12" s="3" t="s">
        <v>2</v>
      </c>
      <c r="BC12" s="2">
        <v>7.13</v>
      </c>
    </row>
    <row r="13" spans="1:61" x14ac:dyDescent="0.3">
      <c r="A13" s="6">
        <v>4</v>
      </c>
      <c r="B13" t="s">
        <v>24</v>
      </c>
      <c r="C13" s="5">
        <f t="shared" si="0"/>
        <v>8.9600000000000009</v>
      </c>
      <c r="E13" s="5">
        <v>0.28000000000000003</v>
      </c>
      <c r="F13" s="12">
        <f>TRUNC(-4*LN(1-E13),2)</f>
        <v>1.31</v>
      </c>
      <c r="G13" s="5">
        <f>C13+F13</f>
        <v>10.270000000000001</v>
      </c>
      <c r="I13" s="12"/>
      <c r="J13" s="18">
        <v>10</v>
      </c>
      <c r="O13" s="17"/>
      <c r="P13" s="5">
        <v>24.69</v>
      </c>
      <c r="R13" s="5">
        <v>0.73</v>
      </c>
      <c r="S13" s="5">
        <f>TRUNC((R13*4)+6,2)</f>
        <v>8.92</v>
      </c>
      <c r="T13" s="5">
        <v>11.63</v>
      </c>
      <c r="U13" s="5">
        <f>C13+S13</f>
        <v>17.880000000000003</v>
      </c>
      <c r="W13" s="3" t="s">
        <v>4</v>
      </c>
      <c r="X13" s="2">
        <f t="shared" si="1"/>
        <v>6.8500000000000005</v>
      </c>
      <c r="Y13" s="3" t="s">
        <v>4</v>
      </c>
      <c r="Z13" s="2">
        <f t="shared" si="2"/>
        <v>0</v>
      </c>
      <c r="AA13" s="3">
        <v>0</v>
      </c>
      <c r="AB13" s="3">
        <v>1</v>
      </c>
      <c r="AC13" s="2" t="s">
        <v>0</v>
      </c>
      <c r="AE13" s="3">
        <v>0</v>
      </c>
      <c r="AF13" s="2">
        <v>0</v>
      </c>
      <c r="AG13" s="4">
        <v>2</v>
      </c>
      <c r="AI13" s="3" t="s">
        <v>1</v>
      </c>
      <c r="AJ13" s="2" t="s">
        <v>0</v>
      </c>
      <c r="AK13" s="3" t="s">
        <v>3</v>
      </c>
      <c r="AL13" s="2" t="s">
        <v>0</v>
      </c>
      <c r="BB13" s="3" t="s">
        <v>2</v>
      </c>
      <c r="BC13" s="2">
        <v>7.13</v>
      </c>
    </row>
    <row r="14" spans="1:61" x14ac:dyDescent="0.3">
      <c r="A14" s="6">
        <v>5</v>
      </c>
      <c r="B14" t="s">
        <v>23</v>
      </c>
      <c r="C14" s="5">
        <f t="shared" si="0"/>
        <v>10</v>
      </c>
      <c r="F14" s="12"/>
      <c r="G14" s="16">
        <v>10.27</v>
      </c>
      <c r="H14" s="5">
        <v>0.56000000000000005</v>
      </c>
      <c r="I14" s="12">
        <f>TRUNC(-10*LN(1-H14),2)</f>
        <v>8.1999999999999993</v>
      </c>
      <c r="J14" s="2">
        <f>C14+I14</f>
        <v>18.2</v>
      </c>
      <c r="O14" s="17"/>
      <c r="P14" s="5">
        <v>24.69</v>
      </c>
      <c r="T14" s="5">
        <v>11.63</v>
      </c>
      <c r="U14" s="5">
        <v>17.88</v>
      </c>
      <c r="W14" s="3" t="s">
        <v>4</v>
      </c>
      <c r="X14" s="2">
        <f t="shared" si="1"/>
        <v>7.89</v>
      </c>
      <c r="Y14" s="3" t="s">
        <v>4</v>
      </c>
      <c r="Z14" s="2">
        <f t="shared" si="2"/>
        <v>1.0399999999999991</v>
      </c>
      <c r="AA14" s="3">
        <v>0</v>
      </c>
      <c r="AB14" s="3">
        <v>2</v>
      </c>
      <c r="AC14" s="2" t="s">
        <v>0</v>
      </c>
      <c r="AE14" s="3">
        <v>0</v>
      </c>
      <c r="AF14" s="2">
        <v>0</v>
      </c>
      <c r="AG14" s="4">
        <v>2</v>
      </c>
      <c r="AI14" s="3" t="s">
        <v>1</v>
      </c>
      <c r="AJ14" s="2" t="s">
        <v>0</v>
      </c>
      <c r="AK14" s="3" t="s">
        <v>3</v>
      </c>
      <c r="AL14" s="2" t="s">
        <v>0</v>
      </c>
      <c r="BB14" s="3" t="s">
        <v>2</v>
      </c>
      <c r="BC14" s="2">
        <v>7.13</v>
      </c>
      <c r="BD14" s="3" t="s">
        <v>2</v>
      </c>
      <c r="BE14" s="2">
        <v>10</v>
      </c>
    </row>
    <row r="15" spans="1:61" x14ac:dyDescent="0.3">
      <c r="A15" s="6">
        <v>6</v>
      </c>
      <c r="B15" t="s">
        <v>22</v>
      </c>
      <c r="C15" s="5">
        <f t="shared" si="0"/>
        <v>10.27</v>
      </c>
      <c r="E15" s="5">
        <v>0.4</v>
      </c>
      <c r="F15" s="12">
        <f>TRUNC(-4*LN(1-E15),2)</f>
        <v>2.04</v>
      </c>
      <c r="G15" s="5">
        <f>C15+F15</f>
        <v>12.309999999999999</v>
      </c>
      <c r="I15" s="12"/>
      <c r="J15" s="2">
        <v>18.2</v>
      </c>
      <c r="K15" s="5">
        <f>C15+11</f>
        <v>21.27</v>
      </c>
      <c r="O15" s="17"/>
      <c r="P15" s="5">
        <v>24.69</v>
      </c>
      <c r="T15" s="16">
        <v>11.63</v>
      </c>
      <c r="U15" s="5">
        <v>17.88</v>
      </c>
      <c r="W15" s="3" t="s">
        <v>4</v>
      </c>
      <c r="X15" s="2">
        <f t="shared" si="1"/>
        <v>8.16</v>
      </c>
      <c r="Y15" s="3" t="s">
        <v>4</v>
      </c>
      <c r="Z15" s="2">
        <f t="shared" si="2"/>
        <v>1.3099999999999987</v>
      </c>
      <c r="AA15" s="3">
        <v>1</v>
      </c>
      <c r="AB15" s="3">
        <v>2</v>
      </c>
      <c r="AC15" s="2" t="s">
        <v>0</v>
      </c>
      <c r="AE15" s="3">
        <v>0</v>
      </c>
      <c r="AF15" s="2">
        <v>0</v>
      </c>
      <c r="AG15" s="4">
        <v>2</v>
      </c>
      <c r="AI15" s="3" t="s">
        <v>1</v>
      </c>
      <c r="AJ15" s="2" t="s">
        <v>0</v>
      </c>
      <c r="AK15" s="3" t="s">
        <v>3</v>
      </c>
      <c r="AL15" s="2" t="s">
        <v>0</v>
      </c>
      <c r="AM15" s="3" t="s">
        <v>2</v>
      </c>
      <c r="AN15" s="2">
        <v>10.27</v>
      </c>
      <c r="BB15" s="3" t="s">
        <v>2</v>
      </c>
      <c r="BC15" s="2">
        <v>7.13</v>
      </c>
      <c r="BD15" s="3" t="s">
        <v>2</v>
      </c>
      <c r="BE15" s="2">
        <v>10</v>
      </c>
    </row>
    <row r="16" spans="1:61" x14ac:dyDescent="0.3">
      <c r="A16" s="6">
        <v>7</v>
      </c>
      <c r="B16" t="s">
        <v>21</v>
      </c>
      <c r="C16" s="5">
        <f t="shared" si="0"/>
        <v>11.63</v>
      </c>
      <c r="F16" s="12"/>
      <c r="G16" s="16">
        <v>12.31</v>
      </c>
      <c r="I16" s="12"/>
      <c r="J16" s="2">
        <v>18.2</v>
      </c>
      <c r="K16" s="5">
        <v>21.27</v>
      </c>
      <c r="O16" s="17"/>
      <c r="P16" s="5">
        <v>24.69</v>
      </c>
      <c r="R16" s="5">
        <v>0.68</v>
      </c>
      <c r="S16" s="5">
        <f>TRUNC((R16*4)+6,2)</f>
        <v>8.7200000000000006</v>
      </c>
      <c r="T16" s="5">
        <f>C16+S16</f>
        <v>20.350000000000001</v>
      </c>
      <c r="U16" s="5">
        <v>17.88</v>
      </c>
      <c r="W16" s="3" t="s">
        <v>5</v>
      </c>
      <c r="X16" s="2">
        <f t="shared" si="1"/>
        <v>9.5200000000000014</v>
      </c>
      <c r="Y16" s="3" t="s">
        <v>4</v>
      </c>
      <c r="Z16" s="2">
        <f t="shared" si="2"/>
        <v>2.67</v>
      </c>
      <c r="AA16" s="3">
        <v>1</v>
      </c>
      <c r="AB16" s="3">
        <v>1</v>
      </c>
      <c r="AC16" s="2" t="s">
        <v>0</v>
      </c>
      <c r="AE16" s="3">
        <v>0</v>
      </c>
      <c r="AF16" s="2">
        <f>AF15+(C16-BC15)</f>
        <v>4.5000000000000009</v>
      </c>
      <c r="AG16" s="4">
        <v>3</v>
      </c>
      <c r="AI16" s="14"/>
      <c r="AJ16" s="13"/>
      <c r="AK16" s="3" t="s">
        <v>3</v>
      </c>
      <c r="AL16" s="2" t="s">
        <v>0</v>
      </c>
      <c r="AM16" s="3" t="s">
        <v>2</v>
      </c>
      <c r="AN16" s="2">
        <v>10.27</v>
      </c>
      <c r="BB16" s="3" t="s">
        <v>1</v>
      </c>
      <c r="BC16" s="2" t="s">
        <v>0</v>
      </c>
      <c r="BD16" s="3" t="s">
        <v>2</v>
      </c>
      <c r="BE16" s="2">
        <v>10</v>
      </c>
    </row>
    <row r="17" spans="1:61" x14ac:dyDescent="0.3">
      <c r="A17" s="6">
        <v>8</v>
      </c>
      <c r="B17" t="s">
        <v>20</v>
      </c>
      <c r="C17" s="5">
        <f t="shared" si="0"/>
        <v>12.31</v>
      </c>
      <c r="E17" s="5">
        <v>0.34</v>
      </c>
      <c r="F17" s="12">
        <f>TRUNC(-4*LN(1-E17),2)</f>
        <v>1.66</v>
      </c>
      <c r="G17" s="16">
        <f>C17+F17</f>
        <v>13.97</v>
      </c>
      <c r="I17" s="12"/>
      <c r="J17" s="2">
        <v>18.2</v>
      </c>
      <c r="K17" s="5">
        <v>21.27</v>
      </c>
      <c r="L17" s="5">
        <f>C17+11</f>
        <v>23.310000000000002</v>
      </c>
      <c r="O17" s="17"/>
      <c r="P17" s="5">
        <v>24.69</v>
      </c>
      <c r="T17" s="5">
        <v>20.350000000000001</v>
      </c>
      <c r="U17" s="5">
        <v>17.88</v>
      </c>
      <c r="W17" s="3" t="s">
        <v>5</v>
      </c>
      <c r="X17" s="2">
        <f t="shared" si="1"/>
        <v>10.200000000000001</v>
      </c>
      <c r="Y17" s="3" t="s">
        <v>4</v>
      </c>
      <c r="Z17" s="2">
        <f t="shared" si="2"/>
        <v>3.3499999999999996</v>
      </c>
      <c r="AA17" s="3">
        <v>2</v>
      </c>
      <c r="AB17" s="3">
        <v>1</v>
      </c>
      <c r="AC17" s="2" t="s">
        <v>0</v>
      </c>
      <c r="AE17" s="3">
        <v>0</v>
      </c>
      <c r="AF17" s="2">
        <v>4.5</v>
      </c>
      <c r="AG17" s="4">
        <v>3</v>
      </c>
      <c r="AK17" s="3" t="s">
        <v>3</v>
      </c>
      <c r="AL17" s="2" t="s">
        <v>0</v>
      </c>
      <c r="AM17" s="3" t="s">
        <v>2</v>
      </c>
      <c r="AN17" s="2">
        <v>10.27</v>
      </c>
      <c r="AO17" s="3" t="s">
        <v>2</v>
      </c>
      <c r="AP17" s="2">
        <v>12.31</v>
      </c>
      <c r="BB17" s="3" t="s">
        <v>1</v>
      </c>
      <c r="BC17" s="2" t="s">
        <v>0</v>
      </c>
      <c r="BD17" s="3" t="s">
        <v>2</v>
      </c>
      <c r="BE17" s="2">
        <v>10</v>
      </c>
    </row>
    <row r="18" spans="1:61" x14ac:dyDescent="0.3">
      <c r="A18" s="6">
        <v>9</v>
      </c>
      <c r="B18" t="s">
        <v>19</v>
      </c>
      <c r="C18" s="5">
        <f t="shared" si="0"/>
        <v>13.97</v>
      </c>
      <c r="E18" s="5">
        <v>0.61</v>
      </c>
      <c r="F18" s="12">
        <f>TRUNC(-4*LN(1-E18),2)</f>
        <v>3.76</v>
      </c>
      <c r="G18" s="16">
        <f>C18+F18</f>
        <v>17.73</v>
      </c>
      <c r="I18" s="12"/>
      <c r="J18" s="2">
        <v>18.2</v>
      </c>
      <c r="K18" s="5">
        <v>21.27</v>
      </c>
      <c r="L18" s="5">
        <v>23.31</v>
      </c>
      <c r="O18" s="17"/>
      <c r="P18" s="5">
        <v>24.69</v>
      </c>
      <c r="T18" s="5">
        <v>20.350000000000001</v>
      </c>
      <c r="U18" s="5">
        <v>17.88</v>
      </c>
      <c r="W18" s="3" t="s">
        <v>5</v>
      </c>
      <c r="X18" s="2">
        <f t="shared" si="1"/>
        <v>11.860000000000001</v>
      </c>
      <c r="Y18" s="3" t="s">
        <v>4</v>
      </c>
      <c r="Z18" s="2">
        <f t="shared" si="2"/>
        <v>5.01</v>
      </c>
      <c r="AA18" s="3">
        <v>2</v>
      </c>
      <c r="AB18" s="3">
        <v>1</v>
      </c>
      <c r="AC18" s="2" t="s">
        <v>0</v>
      </c>
      <c r="AE18" s="3">
        <v>0</v>
      </c>
      <c r="AF18" s="2">
        <v>4.5</v>
      </c>
      <c r="AG18" s="4">
        <v>3</v>
      </c>
      <c r="AK18" s="3" t="s">
        <v>3</v>
      </c>
      <c r="AL18" s="2" t="s">
        <v>0</v>
      </c>
      <c r="AM18" s="3" t="s">
        <v>2</v>
      </c>
      <c r="AN18" s="2">
        <v>10.27</v>
      </c>
      <c r="AO18" s="3" t="s">
        <v>2</v>
      </c>
      <c r="AP18" s="2">
        <v>12.31</v>
      </c>
      <c r="AQ18" s="14"/>
      <c r="AR18" s="13"/>
      <c r="BB18" s="3" t="s">
        <v>1</v>
      </c>
      <c r="BC18" s="2" t="s">
        <v>0</v>
      </c>
      <c r="BD18" s="3" t="s">
        <v>2</v>
      </c>
      <c r="BE18" s="2">
        <v>10</v>
      </c>
    </row>
    <row r="19" spans="1:61" x14ac:dyDescent="0.3">
      <c r="A19" s="6">
        <v>10</v>
      </c>
      <c r="B19" t="s">
        <v>18</v>
      </c>
      <c r="C19" s="5">
        <f t="shared" si="0"/>
        <v>17.73</v>
      </c>
      <c r="E19" s="5">
        <v>0.88</v>
      </c>
      <c r="F19" s="12">
        <f>TRUNC(-4*LN(1-E19),2)</f>
        <v>8.48</v>
      </c>
      <c r="G19" s="5">
        <f>C19+F19</f>
        <v>26.21</v>
      </c>
      <c r="I19" s="12"/>
      <c r="J19" s="2">
        <v>18.2</v>
      </c>
      <c r="K19" s="5">
        <v>21.27</v>
      </c>
      <c r="L19" s="5">
        <v>23.31</v>
      </c>
      <c r="O19" s="17"/>
      <c r="P19" s="5">
        <v>24.69</v>
      </c>
      <c r="T19" s="5">
        <v>20.350000000000001</v>
      </c>
      <c r="U19" s="16">
        <v>17.88</v>
      </c>
      <c r="W19" s="3" t="s">
        <v>5</v>
      </c>
      <c r="X19" s="2">
        <f t="shared" si="1"/>
        <v>15.620000000000001</v>
      </c>
      <c r="Y19" s="3" t="s">
        <v>4</v>
      </c>
      <c r="Z19" s="2">
        <f t="shared" si="2"/>
        <v>8.77</v>
      </c>
      <c r="AA19" s="3">
        <v>2</v>
      </c>
      <c r="AB19" s="3">
        <v>1</v>
      </c>
      <c r="AC19" s="2" t="s">
        <v>0</v>
      </c>
      <c r="AE19" s="3">
        <v>0</v>
      </c>
      <c r="AF19" s="2">
        <v>4.5</v>
      </c>
      <c r="AG19" s="4">
        <v>3</v>
      </c>
      <c r="AK19" s="3" t="s">
        <v>3</v>
      </c>
      <c r="AL19" s="2" t="s">
        <v>0</v>
      </c>
      <c r="AM19" s="3" t="s">
        <v>2</v>
      </c>
      <c r="AN19" s="2">
        <v>10.27</v>
      </c>
      <c r="AO19" s="3" t="s">
        <v>2</v>
      </c>
      <c r="AP19" s="2">
        <v>12.31</v>
      </c>
      <c r="AS19" s="14"/>
      <c r="AT19" s="13"/>
      <c r="BB19" s="3" t="s">
        <v>1</v>
      </c>
      <c r="BC19" s="2" t="s">
        <v>0</v>
      </c>
      <c r="BD19" s="3" t="s">
        <v>2</v>
      </c>
      <c r="BE19" s="2">
        <v>10</v>
      </c>
    </row>
    <row r="20" spans="1:61" x14ac:dyDescent="0.3">
      <c r="A20" s="6">
        <v>11</v>
      </c>
      <c r="B20" t="s">
        <v>17</v>
      </c>
      <c r="C20" s="5">
        <f t="shared" si="0"/>
        <v>17.88</v>
      </c>
      <c r="F20" s="12"/>
      <c r="G20" s="5">
        <v>26.21</v>
      </c>
      <c r="I20" s="12"/>
      <c r="J20" s="18">
        <v>18.2</v>
      </c>
      <c r="K20" s="15">
        <v>21.27</v>
      </c>
      <c r="L20" s="5">
        <v>23.31</v>
      </c>
      <c r="O20" s="17"/>
      <c r="P20" s="5">
        <v>24.69</v>
      </c>
      <c r="R20" s="5">
        <v>0.5</v>
      </c>
      <c r="S20" s="5">
        <f>TRUNC((R20*4)+6,2)</f>
        <v>8</v>
      </c>
      <c r="T20" s="5">
        <v>20.350000000000001</v>
      </c>
      <c r="U20" s="5">
        <f>C20+S20</f>
        <v>25.88</v>
      </c>
      <c r="W20" s="3" t="s">
        <v>5</v>
      </c>
      <c r="X20" s="2">
        <f t="shared" si="1"/>
        <v>15.77</v>
      </c>
      <c r="Y20" s="3" t="s">
        <v>4</v>
      </c>
      <c r="Z20" s="2">
        <f t="shared" si="2"/>
        <v>8.9199999999999982</v>
      </c>
      <c r="AA20" s="3">
        <v>1</v>
      </c>
      <c r="AB20" s="3">
        <v>1</v>
      </c>
      <c r="AC20" s="2" t="s">
        <v>0</v>
      </c>
      <c r="AE20" s="3">
        <v>0</v>
      </c>
      <c r="AF20" s="2">
        <f>AF19+(C20-AN19)</f>
        <v>12.11</v>
      </c>
      <c r="AG20" s="4">
        <v>4</v>
      </c>
      <c r="AK20" s="14"/>
      <c r="AL20" s="13"/>
      <c r="AM20" s="3" t="s">
        <v>3</v>
      </c>
      <c r="AN20" s="2" t="s">
        <v>0</v>
      </c>
      <c r="AO20" s="3" t="s">
        <v>2</v>
      </c>
      <c r="AP20" s="2">
        <v>12.31</v>
      </c>
      <c r="BB20" s="3" t="s">
        <v>1</v>
      </c>
      <c r="BC20" s="2" t="s">
        <v>0</v>
      </c>
      <c r="BD20" s="3" t="s">
        <v>2</v>
      </c>
      <c r="BE20" s="2">
        <v>10</v>
      </c>
    </row>
    <row r="21" spans="1:61" x14ac:dyDescent="0.3">
      <c r="A21" s="6">
        <v>12</v>
      </c>
      <c r="B21" t="s">
        <v>16</v>
      </c>
      <c r="C21" s="5">
        <f t="shared" si="0"/>
        <v>18.2</v>
      </c>
      <c r="F21" s="12"/>
      <c r="G21" s="5">
        <v>26.21</v>
      </c>
      <c r="H21" s="5">
        <v>0.88</v>
      </c>
      <c r="I21" s="12">
        <f>TRUNC(-10*LN(1-H21),2)</f>
        <v>21.2</v>
      </c>
      <c r="J21" s="2">
        <f>C21+I21</f>
        <v>39.4</v>
      </c>
      <c r="L21" s="5">
        <v>23.31</v>
      </c>
      <c r="O21" s="17"/>
      <c r="P21" s="5">
        <v>24.69</v>
      </c>
      <c r="T21" s="16">
        <v>20.350000000000001</v>
      </c>
      <c r="U21" s="5">
        <v>25.88</v>
      </c>
      <c r="W21" s="3" t="s">
        <v>5</v>
      </c>
      <c r="X21" s="2">
        <f t="shared" si="1"/>
        <v>16.09</v>
      </c>
      <c r="Y21" s="3" t="s">
        <v>4</v>
      </c>
      <c r="Z21" s="2">
        <f t="shared" si="2"/>
        <v>9.2399999999999984</v>
      </c>
      <c r="AA21" s="3">
        <v>1</v>
      </c>
      <c r="AB21" s="3">
        <v>2</v>
      </c>
      <c r="AC21" s="2" t="s">
        <v>0</v>
      </c>
      <c r="AE21" s="3">
        <v>0</v>
      </c>
      <c r="AF21" s="2">
        <v>12.11</v>
      </c>
      <c r="AG21" s="4">
        <v>4</v>
      </c>
      <c r="AM21" s="3" t="s">
        <v>3</v>
      </c>
      <c r="AN21" s="2" t="s">
        <v>0</v>
      </c>
      <c r="AO21" s="3" t="s">
        <v>2</v>
      </c>
      <c r="AP21" s="2">
        <v>12.31</v>
      </c>
      <c r="BB21" s="3" t="s">
        <v>1</v>
      </c>
      <c r="BC21" s="2" t="s">
        <v>0</v>
      </c>
      <c r="BD21" s="3" t="s">
        <v>2</v>
      </c>
      <c r="BE21" s="2">
        <v>10</v>
      </c>
      <c r="BF21" s="3" t="s">
        <v>2</v>
      </c>
      <c r="BG21" s="2">
        <v>18.2</v>
      </c>
    </row>
    <row r="22" spans="1:61" x14ac:dyDescent="0.3">
      <c r="A22" s="6">
        <v>13</v>
      </c>
      <c r="B22" t="s">
        <v>15</v>
      </c>
      <c r="C22" s="5">
        <f t="shared" si="0"/>
        <v>20.350000000000001</v>
      </c>
      <c r="F22" s="12"/>
      <c r="G22" s="5">
        <v>26.21</v>
      </c>
      <c r="J22" s="2">
        <v>39.4</v>
      </c>
      <c r="L22" s="16">
        <v>23.31</v>
      </c>
      <c r="O22" s="17"/>
      <c r="P22" s="5">
        <v>24.69</v>
      </c>
      <c r="R22" s="5">
        <v>0.91</v>
      </c>
      <c r="S22" s="5">
        <f>TRUNC((R22*4)+6,2)</f>
        <v>9.64</v>
      </c>
      <c r="T22" s="5">
        <f>C22+S22</f>
        <v>29.990000000000002</v>
      </c>
      <c r="U22" s="5">
        <v>25.88</v>
      </c>
      <c r="W22" s="3" t="s">
        <v>5</v>
      </c>
      <c r="X22" s="2">
        <f t="shared" si="1"/>
        <v>18.240000000000002</v>
      </c>
      <c r="Y22" s="3" t="s">
        <v>4</v>
      </c>
      <c r="Z22" s="2">
        <f t="shared" si="2"/>
        <v>11.39</v>
      </c>
      <c r="AA22" s="3">
        <v>1</v>
      </c>
      <c r="AB22" s="3">
        <v>1</v>
      </c>
      <c r="AC22" s="2" t="s">
        <v>0</v>
      </c>
      <c r="AE22" s="3">
        <v>0</v>
      </c>
      <c r="AF22" s="2">
        <f>AF21+(C22-BE21)</f>
        <v>22.46</v>
      </c>
      <c r="AG22" s="4">
        <v>5</v>
      </c>
      <c r="AM22" s="3" t="s">
        <v>3</v>
      </c>
      <c r="AN22" s="2" t="s">
        <v>0</v>
      </c>
      <c r="AO22" s="3" t="s">
        <v>2</v>
      </c>
      <c r="AP22" s="2">
        <v>12.31</v>
      </c>
      <c r="BB22" s="14"/>
      <c r="BC22" s="13"/>
      <c r="BD22" s="3" t="s">
        <v>1</v>
      </c>
      <c r="BE22" s="2" t="s">
        <v>0</v>
      </c>
      <c r="BF22" s="3" t="s">
        <v>2</v>
      </c>
      <c r="BG22" s="2">
        <v>18.2</v>
      </c>
    </row>
    <row r="23" spans="1:61" x14ac:dyDescent="0.3">
      <c r="A23" s="6">
        <v>14</v>
      </c>
      <c r="B23" t="s">
        <v>14</v>
      </c>
      <c r="C23" s="5">
        <f t="shared" si="0"/>
        <v>23.31</v>
      </c>
      <c r="F23" s="12"/>
      <c r="G23" s="5">
        <v>26.21</v>
      </c>
      <c r="J23" s="2">
        <v>39.4</v>
      </c>
      <c r="O23" s="17"/>
      <c r="P23" s="16">
        <v>24.69</v>
      </c>
      <c r="T23" s="5">
        <v>29.99</v>
      </c>
      <c r="U23" s="5">
        <v>25.88</v>
      </c>
      <c r="W23" s="3" t="s">
        <v>5</v>
      </c>
      <c r="X23" s="2">
        <f t="shared" si="1"/>
        <v>21.2</v>
      </c>
      <c r="Y23" s="3" t="s">
        <v>4</v>
      </c>
      <c r="Z23" s="2">
        <f t="shared" si="2"/>
        <v>14.349999999999998</v>
      </c>
      <c r="AA23" s="3">
        <v>0</v>
      </c>
      <c r="AB23" s="3">
        <v>1</v>
      </c>
      <c r="AC23" s="2" t="s">
        <v>0</v>
      </c>
      <c r="AE23" s="3">
        <v>1</v>
      </c>
      <c r="AF23" s="2">
        <v>22.46</v>
      </c>
      <c r="AG23" s="4">
        <v>5</v>
      </c>
      <c r="AM23" s="3" t="s">
        <v>3</v>
      </c>
      <c r="AN23" s="2" t="s">
        <v>0</v>
      </c>
      <c r="AO23" s="14"/>
      <c r="AP23" s="13"/>
      <c r="BD23" s="3" t="s">
        <v>1</v>
      </c>
      <c r="BE23" s="2" t="s">
        <v>0</v>
      </c>
      <c r="BF23" s="3" t="s">
        <v>2</v>
      </c>
      <c r="BG23" s="2">
        <v>18.2</v>
      </c>
    </row>
    <row r="24" spans="1:61" x14ac:dyDescent="0.3">
      <c r="A24" s="6">
        <v>15</v>
      </c>
      <c r="B24" t="s">
        <v>13</v>
      </c>
      <c r="C24" s="5">
        <f t="shared" si="0"/>
        <v>24.69</v>
      </c>
      <c r="F24" s="12"/>
      <c r="G24" s="16">
        <v>26.21</v>
      </c>
      <c r="J24" s="2">
        <v>39.4</v>
      </c>
      <c r="N24" s="5">
        <v>0.74</v>
      </c>
      <c r="O24" s="12">
        <f>TRUNC(-90*LN(1-N24),2)</f>
        <v>121.23</v>
      </c>
      <c r="P24" s="5">
        <f>C24+O24</f>
        <v>145.92000000000002</v>
      </c>
      <c r="Q24" s="5">
        <f>C24+5</f>
        <v>29.69</v>
      </c>
      <c r="T24" s="5">
        <v>29.99</v>
      </c>
      <c r="U24" s="15">
        <v>25.88</v>
      </c>
      <c r="W24" s="3" t="s">
        <v>5</v>
      </c>
      <c r="X24" s="2">
        <f t="shared" si="1"/>
        <v>22.580000000000002</v>
      </c>
      <c r="Y24" s="3" t="s">
        <v>11</v>
      </c>
      <c r="Z24" s="2">
        <f t="shared" si="2"/>
        <v>15.73</v>
      </c>
      <c r="AA24" s="3">
        <v>0</v>
      </c>
      <c r="AB24" s="3">
        <v>1</v>
      </c>
      <c r="AC24" s="2">
        <f>U23-C24</f>
        <v>1.1899999999999977</v>
      </c>
      <c r="AE24" s="3">
        <v>1</v>
      </c>
      <c r="AF24" s="2">
        <v>22.46</v>
      </c>
      <c r="AG24" s="4">
        <v>5</v>
      </c>
      <c r="AM24" s="3" t="s">
        <v>10</v>
      </c>
      <c r="AN24" s="2" t="s">
        <v>0</v>
      </c>
      <c r="BD24" s="3" t="s">
        <v>1</v>
      </c>
      <c r="BE24" s="2" t="s">
        <v>0</v>
      </c>
      <c r="BF24" s="3" t="s">
        <v>2</v>
      </c>
      <c r="BG24" s="2">
        <v>18.2</v>
      </c>
    </row>
    <row r="25" spans="1:61" x14ac:dyDescent="0.3">
      <c r="A25" s="6">
        <v>16</v>
      </c>
      <c r="B25" t="s">
        <v>12</v>
      </c>
      <c r="C25" s="5">
        <v>26.21</v>
      </c>
      <c r="E25" s="5">
        <v>0.91</v>
      </c>
      <c r="F25" s="12">
        <f>TRUNC(-4*LN(1-E25),2)</f>
        <v>9.6300000000000008</v>
      </c>
      <c r="G25" s="5">
        <f>C25+F25</f>
        <v>35.840000000000003</v>
      </c>
      <c r="J25" s="2">
        <v>39.4</v>
      </c>
      <c r="K25" s="5">
        <f>C25+11</f>
        <v>37.21</v>
      </c>
      <c r="P25" s="5">
        <v>145.91999999999999</v>
      </c>
      <c r="Q25" s="16">
        <v>29.69</v>
      </c>
      <c r="T25" s="5">
        <v>29.99</v>
      </c>
      <c r="W25" s="3" t="s">
        <v>5</v>
      </c>
      <c r="X25" s="2">
        <f t="shared" si="1"/>
        <v>24.1</v>
      </c>
      <c r="Y25" s="3" t="s">
        <v>11</v>
      </c>
      <c r="Z25" s="2">
        <f t="shared" si="2"/>
        <v>15.73</v>
      </c>
      <c r="AA25" s="3">
        <v>1</v>
      </c>
      <c r="AB25" s="3">
        <v>1</v>
      </c>
      <c r="AC25" s="2">
        <v>1.19</v>
      </c>
      <c r="AE25" s="3">
        <v>1</v>
      </c>
      <c r="AF25" s="2">
        <v>22.46</v>
      </c>
      <c r="AG25" s="4">
        <v>5</v>
      </c>
      <c r="AM25" s="3" t="s">
        <v>10</v>
      </c>
      <c r="AN25" s="2" t="s">
        <v>0</v>
      </c>
      <c r="AU25" s="2" t="s">
        <v>2</v>
      </c>
      <c r="AV25" s="3">
        <v>26.21</v>
      </c>
      <c r="BD25" s="3" t="s">
        <v>1</v>
      </c>
      <c r="BE25" s="2" t="s">
        <v>0</v>
      </c>
      <c r="BF25" s="3" t="s">
        <v>2</v>
      </c>
      <c r="BG25" s="2">
        <v>18.2</v>
      </c>
    </row>
    <row r="26" spans="1:61" x14ac:dyDescent="0.3">
      <c r="A26" s="6">
        <v>17</v>
      </c>
      <c r="B26" t="s">
        <v>9</v>
      </c>
      <c r="C26" s="5">
        <f>MIN(G25,J25,K25,L25,M25,P25,Q25,T25,U25)</f>
        <v>29.69</v>
      </c>
      <c r="F26" s="12"/>
      <c r="G26" s="5">
        <v>35.840000000000003</v>
      </c>
      <c r="J26" s="2">
        <v>39.4</v>
      </c>
      <c r="K26" s="5">
        <v>37.21</v>
      </c>
      <c r="P26" s="5">
        <v>145.91999999999999</v>
      </c>
      <c r="T26" s="16">
        <v>29.99</v>
      </c>
      <c r="U26" s="5">
        <f>C26+AC25</f>
        <v>30.880000000000003</v>
      </c>
      <c r="W26" s="3" t="s">
        <v>5</v>
      </c>
      <c r="X26" s="2">
        <f t="shared" si="1"/>
        <v>27.580000000000002</v>
      </c>
      <c r="Y26" s="3" t="s">
        <v>4</v>
      </c>
      <c r="Z26" s="2">
        <f t="shared" si="2"/>
        <v>15.73</v>
      </c>
      <c r="AA26" s="3">
        <v>1</v>
      </c>
      <c r="AB26" s="3">
        <v>1</v>
      </c>
      <c r="AC26" s="2" t="s">
        <v>0</v>
      </c>
      <c r="AE26" s="3">
        <v>1</v>
      </c>
      <c r="AF26" s="2">
        <v>22.46</v>
      </c>
      <c r="AG26" s="4">
        <v>5</v>
      </c>
      <c r="AM26" s="3" t="s">
        <v>3</v>
      </c>
      <c r="AN26" s="2" t="s">
        <v>0</v>
      </c>
      <c r="AU26" s="2" t="s">
        <v>2</v>
      </c>
      <c r="AV26" s="3">
        <v>26.21</v>
      </c>
      <c r="BD26" s="3" t="s">
        <v>1</v>
      </c>
      <c r="BE26" s="2" t="s">
        <v>0</v>
      </c>
      <c r="BF26" s="3" t="s">
        <v>2</v>
      </c>
      <c r="BG26" s="2">
        <v>18.2</v>
      </c>
    </row>
    <row r="27" spans="1:61" x14ac:dyDescent="0.3">
      <c r="A27" s="6">
        <v>18</v>
      </c>
      <c r="B27" t="s">
        <v>8</v>
      </c>
      <c r="C27" s="5">
        <f>MIN(G26,J26,K26,L26,M26,P26,Q26,T26,U26)</f>
        <v>29.99</v>
      </c>
      <c r="F27" s="12"/>
      <c r="G27" s="5">
        <v>35.840000000000003</v>
      </c>
      <c r="J27" s="2">
        <v>39.4</v>
      </c>
      <c r="K27" s="5">
        <v>37.21</v>
      </c>
      <c r="P27" s="5">
        <v>145.91999999999999</v>
      </c>
      <c r="R27" s="5">
        <v>0.39</v>
      </c>
      <c r="S27" s="5">
        <f>TRUNC((R27*4)+6,2)</f>
        <v>7.56</v>
      </c>
      <c r="T27" s="5">
        <f>C27+S27</f>
        <v>37.549999999999997</v>
      </c>
      <c r="U27" s="16">
        <v>30.88</v>
      </c>
      <c r="W27" s="3" t="s">
        <v>5</v>
      </c>
      <c r="X27" s="2">
        <f t="shared" si="1"/>
        <v>27.88</v>
      </c>
      <c r="Y27" s="3" t="s">
        <v>4</v>
      </c>
      <c r="Z27" s="2">
        <f t="shared" si="2"/>
        <v>16.029999999999998</v>
      </c>
      <c r="AA27" s="3">
        <v>1</v>
      </c>
      <c r="AB27" s="3">
        <v>0</v>
      </c>
      <c r="AC27" s="2" t="s">
        <v>0</v>
      </c>
      <c r="AE27" s="3">
        <v>1</v>
      </c>
      <c r="AF27" s="2">
        <f>AF26+(C27-BG26)</f>
        <v>34.25</v>
      </c>
      <c r="AG27" s="4">
        <v>6</v>
      </c>
      <c r="AM27" s="3" t="s">
        <v>3</v>
      </c>
      <c r="AN27" s="2" t="s">
        <v>0</v>
      </c>
      <c r="AU27" s="2" t="s">
        <v>2</v>
      </c>
      <c r="AV27" s="3">
        <v>26.21</v>
      </c>
      <c r="BD27" s="14"/>
      <c r="BE27" s="13"/>
      <c r="BF27" s="3" t="s">
        <v>1</v>
      </c>
      <c r="BG27" s="2" t="s">
        <v>0</v>
      </c>
    </row>
    <row r="28" spans="1:61" x14ac:dyDescent="0.3">
      <c r="A28" s="6">
        <v>19</v>
      </c>
      <c r="B28" t="s">
        <v>7</v>
      </c>
      <c r="C28" s="5">
        <f>MIN(G27,J27,K27,L27,M27,P27,Q27,T27,U27)</f>
        <v>30.88</v>
      </c>
      <c r="F28" s="12"/>
      <c r="G28" s="16">
        <v>35.840000000000003</v>
      </c>
      <c r="J28" s="2">
        <v>39.4</v>
      </c>
      <c r="K28" s="15">
        <v>37.21</v>
      </c>
      <c r="P28" s="5">
        <v>145.91999999999999</v>
      </c>
      <c r="R28" s="5">
        <v>0.56000000000000005</v>
      </c>
      <c r="S28" s="5">
        <f>TRUNC((R28*4)+6,2)</f>
        <v>8.24</v>
      </c>
      <c r="T28" s="5">
        <v>37.549999999999997</v>
      </c>
      <c r="U28" s="5">
        <f>C28+S28</f>
        <v>39.119999999999997</v>
      </c>
      <c r="W28" s="3" t="s">
        <v>5</v>
      </c>
      <c r="X28" s="2">
        <f t="shared" si="1"/>
        <v>28.77</v>
      </c>
      <c r="Y28" s="3" t="s">
        <v>4</v>
      </c>
      <c r="Z28" s="2">
        <f t="shared" si="2"/>
        <v>16.919999999999998</v>
      </c>
      <c r="AA28" s="3">
        <v>0</v>
      </c>
      <c r="AB28" s="3">
        <v>0</v>
      </c>
      <c r="AC28" s="2" t="s">
        <v>0</v>
      </c>
      <c r="AE28" s="3">
        <v>1</v>
      </c>
      <c r="AF28" s="2">
        <f>AF27+(C28-AV27)</f>
        <v>38.92</v>
      </c>
      <c r="AG28" s="4">
        <v>7</v>
      </c>
      <c r="AM28" s="14"/>
      <c r="AN28" s="13"/>
      <c r="AU28" s="3" t="s">
        <v>3</v>
      </c>
      <c r="AV28" s="2" t="s">
        <v>0</v>
      </c>
      <c r="BF28" s="3" t="s">
        <v>1</v>
      </c>
      <c r="BG28" s="2" t="s">
        <v>0</v>
      </c>
    </row>
    <row r="29" spans="1:61" x14ac:dyDescent="0.3">
      <c r="A29" s="6">
        <v>20</v>
      </c>
      <c r="B29" t="s">
        <v>6</v>
      </c>
      <c r="C29" s="5">
        <f>MIN(G28,J28,K28,L28,M28,P28,Q28,T28,U28)</f>
        <v>35.840000000000003</v>
      </c>
      <c r="E29" s="5">
        <v>0.55000000000000004</v>
      </c>
      <c r="F29" s="12">
        <f>TRUNC(-4*LN(1-E29),2)</f>
        <v>3.19</v>
      </c>
      <c r="G29" s="5">
        <f>C29+F29</f>
        <v>39.03</v>
      </c>
      <c r="J29" s="2">
        <v>39.4</v>
      </c>
      <c r="K29" s="5">
        <f>C29+11</f>
        <v>46.84</v>
      </c>
      <c r="P29" s="5">
        <v>145.91999999999999</v>
      </c>
      <c r="T29" s="5">
        <v>37.549999999999997</v>
      </c>
      <c r="U29" s="5">
        <v>39.119999999999997</v>
      </c>
      <c r="W29" s="3" t="s">
        <v>5</v>
      </c>
      <c r="X29" s="2">
        <f t="shared" si="1"/>
        <v>33.730000000000004</v>
      </c>
      <c r="Y29" s="3" t="s">
        <v>4</v>
      </c>
      <c r="Z29" s="2">
        <f t="shared" si="2"/>
        <v>21.880000000000003</v>
      </c>
      <c r="AA29" s="3">
        <v>1</v>
      </c>
      <c r="AB29" s="3">
        <v>0</v>
      </c>
      <c r="AC29" s="2" t="s">
        <v>0</v>
      </c>
      <c r="AE29" s="3">
        <v>1</v>
      </c>
      <c r="AF29" s="2">
        <v>38.92</v>
      </c>
      <c r="AG29" s="4">
        <v>7</v>
      </c>
      <c r="AU29" s="3" t="s">
        <v>3</v>
      </c>
      <c r="AV29" s="2" t="s">
        <v>0</v>
      </c>
      <c r="AW29" s="3" t="s">
        <v>2</v>
      </c>
      <c r="AX29" s="2">
        <v>35.840000000000003</v>
      </c>
      <c r="BF29" s="3" t="s">
        <v>1</v>
      </c>
      <c r="BG29" s="2" t="s">
        <v>0</v>
      </c>
    </row>
    <row r="30" spans="1:61" s="1" customFormat="1" x14ac:dyDescent="0.3">
      <c r="A30" s="11"/>
      <c r="C30" s="10"/>
      <c r="E30" s="10"/>
      <c r="F30" s="10"/>
      <c r="G30" s="10"/>
      <c r="H30" s="10"/>
      <c r="I30" s="10"/>
      <c r="J30" s="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8"/>
      <c r="X30" s="7"/>
      <c r="Y30" s="8"/>
      <c r="Z30" s="7"/>
      <c r="AA30" s="8"/>
      <c r="AB30" s="8"/>
      <c r="AC30" s="7"/>
      <c r="AE30" s="8"/>
      <c r="AF30" s="7"/>
      <c r="AG30" s="9"/>
      <c r="AI30" s="8"/>
      <c r="AJ30" s="7"/>
      <c r="AK30" s="8"/>
      <c r="AL30" s="7"/>
      <c r="AM30" s="8"/>
      <c r="AN30" s="7"/>
      <c r="AO30" s="8"/>
      <c r="AP30" s="7"/>
      <c r="AQ30" s="8"/>
      <c r="AR30" s="7"/>
      <c r="AS30" s="8"/>
      <c r="AT30" s="7"/>
      <c r="AU30" s="8"/>
      <c r="AV30" s="7"/>
      <c r="AW30" s="8"/>
      <c r="AX30" s="7"/>
      <c r="AY30" s="8"/>
      <c r="AZ30" s="7"/>
      <c r="BA30" s="7"/>
      <c r="BB30" s="8"/>
      <c r="BC30" s="7"/>
      <c r="BD30" s="8"/>
      <c r="BE30" s="7"/>
      <c r="BF30" s="8"/>
      <c r="BG30" s="7"/>
      <c r="BH30" s="8"/>
      <c r="BI30" s="7"/>
    </row>
    <row r="32" spans="1:61" x14ac:dyDescent="0.3">
      <c r="X32" s="32">
        <f>X29*100/C29</f>
        <v>94.112723214285722</v>
      </c>
      <c r="Z32" s="32">
        <f>Z29*100/C29</f>
        <v>61.049107142857153</v>
      </c>
      <c r="AE32" s="33">
        <f>AE29</f>
        <v>1</v>
      </c>
      <c r="AF32" s="50">
        <f>AF29/AG29</f>
        <v>5.5600000000000005</v>
      </c>
      <c r="AG32" s="50"/>
    </row>
  </sheetData>
  <mergeCells count="50">
    <mergeCell ref="BB8:BC8"/>
    <mergeCell ref="BD8:BE8"/>
    <mergeCell ref="BF8:BG8"/>
    <mergeCell ref="BH8:BI8"/>
    <mergeCell ref="AF32:AG32"/>
    <mergeCell ref="AM8:AN8"/>
    <mergeCell ref="AO8:AP8"/>
    <mergeCell ref="AQ8:AR8"/>
    <mergeCell ref="AS8:AT8"/>
    <mergeCell ref="AW8:AX8"/>
    <mergeCell ref="T8:T9"/>
    <mergeCell ref="U8:U9"/>
    <mergeCell ref="W8:X8"/>
    <mergeCell ref="Y8:Z8"/>
    <mergeCell ref="AI8:AJ8"/>
    <mergeCell ref="AK8:AL8"/>
    <mergeCell ref="AG7:AG9"/>
    <mergeCell ref="AI7:AZ7"/>
    <mergeCell ref="AY8:AZ8"/>
    <mergeCell ref="BB7:BI7"/>
    <mergeCell ref="E8:E9"/>
    <mergeCell ref="F8:F9"/>
    <mergeCell ref="G8:G9"/>
    <mergeCell ref="H8:H9"/>
    <mergeCell ref="I8:I9"/>
    <mergeCell ref="J8:J9"/>
    <mergeCell ref="K8:K9"/>
    <mergeCell ref="L8:L9"/>
    <mergeCell ref="AA7:AA9"/>
    <mergeCell ref="AB7:AB9"/>
    <mergeCell ref="AC7:AC9"/>
    <mergeCell ref="AE7:AE9"/>
    <mergeCell ref="AF7:AF9"/>
    <mergeCell ref="M8:M9"/>
    <mergeCell ref="AU8:AV8"/>
    <mergeCell ref="AF6:AG6"/>
    <mergeCell ref="B7:B9"/>
    <mergeCell ref="C7:C9"/>
    <mergeCell ref="E7:G7"/>
    <mergeCell ref="H7:J7"/>
    <mergeCell ref="K7:M7"/>
    <mergeCell ref="N7:P7"/>
    <mergeCell ref="Q7:Q9"/>
    <mergeCell ref="R7:U7"/>
    <mergeCell ref="W7:Z7"/>
    <mergeCell ref="S8:S9"/>
    <mergeCell ref="N8:N9"/>
    <mergeCell ref="O8:O9"/>
    <mergeCell ref="P8:P9"/>
    <mergeCell ref="R8:R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Turno 1 - Vector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</dc:creator>
  <cp:lastModifiedBy>Francisco Reinaudo</cp:lastModifiedBy>
  <dcterms:created xsi:type="dcterms:W3CDTF">2025-06-11T13:22:05Z</dcterms:created>
  <dcterms:modified xsi:type="dcterms:W3CDTF">2026-06-18T02:36:00Z</dcterms:modified>
</cp:coreProperties>
</file>